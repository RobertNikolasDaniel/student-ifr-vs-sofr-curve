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EA962099-0FC4-46B0-9880-FFF0F43F67BB}" xr6:coauthVersionLast="47" xr6:coauthVersionMax="47" xr10:uidLastSave="{00000000-0000-0000-0000-000000000000}"/>
  <bookViews>
    <workbookView xWindow="-28920" yWindow="-120" windowWidth="29040" windowHeight="15720" xr2:uid="{49959DF4-8B20-4A9E-BF08-94CF0F918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1" l="1"/>
  <c r="N11" i="1"/>
  <c r="N9" i="1"/>
  <c r="M5" i="1"/>
  <c r="N5" i="1" s="1"/>
  <c r="P5" i="1" s="1"/>
  <c r="R5" i="1" s="1"/>
  <c r="M11" i="1" s="1"/>
  <c r="K5" i="1"/>
  <c r="L5" i="1" s="1"/>
  <c r="O5" i="1" s="1"/>
  <c r="Q5" i="1" s="1"/>
  <c r="M10" i="1" s="1"/>
  <c r="L11" i="1"/>
  <c r="L10" i="1"/>
  <c r="L9" i="1"/>
  <c r="M9" i="1"/>
  <c r="C23" i="1"/>
  <c r="K11" i="1" s="1"/>
  <c r="C22" i="1"/>
  <c r="K10" i="1" s="1"/>
</calcChain>
</file>

<file path=xl/sharedStrings.xml><?xml version="1.0" encoding="utf-8"?>
<sst xmlns="http://schemas.openxmlformats.org/spreadsheetml/2006/main" count="52" uniqueCount="32">
  <si>
    <t>student-ifr-vs-sofr-curve</t>
  </si>
  <si>
    <t>dirty</t>
  </si>
  <si>
    <t>clean</t>
  </si>
  <si>
    <t>since</t>
  </si>
  <si>
    <t>dtd</t>
  </si>
  <si>
    <t>SOFR</t>
  </si>
  <si>
    <t>days</t>
  </si>
  <si>
    <t>rate</t>
  </si>
  <si>
    <t>repo</t>
  </si>
  <si>
    <t>proj ai</t>
  </si>
  <si>
    <t>ai</t>
  </si>
  <si>
    <t>cf</t>
  </si>
  <si>
    <t>price</t>
  </si>
  <si>
    <t>Front CME</t>
  </si>
  <si>
    <t>Front CTD</t>
  </si>
  <si>
    <t>freq</t>
  </si>
  <si>
    <t>Next CTD</t>
  </si>
  <si>
    <t>Next CME</t>
  </si>
  <si>
    <t>par</t>
  </si>
  <si>
    <t>Engine</t>
  </si>
  <si>
    <t>invoice</t>
  </si>
  <si>
    <t>ifr</t>
  </si>
  <si>
    <t>date</t>
  </si>
  <si>
    <t xml:space="preserve"> (front)</t>
  </si>
  <si>
    <t>(next)</t>
  </si>
  <si>
    <t>(front)</t>
  </si>
  <si>
    <t>Table</t>
  </si>
  <si>
    <t>sofr</t>
  </si>
  <si>
    <t>(front del)</t>
  </si>
  <si>
    <t>(next del)</t>
  </si>
  <si>
    <t>basis</t>
  </si>
  <si>
    <t>sofr-ifr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</si>
</sst>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5" borderId="4" xfId="0" applyFill="1" applyBorder="1"/>
    <xf numFmtId="0" fontId="0" fillId="6" borderId="5" xfId="0" applyFill="1" applyBorder="1"/>
    <xf numFmtId="0" fontId="0" fillId="4" borderId="0" xfId="0" applyFill="1" applyBorder="1"/>
    <xf numFmtId="0" fontId="0" fillId="7" borderId="6" xfId="0" applyFill="1" applyBorder="1"/>
    <xf numFmtId="0" fontId="0" fillId="5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8" borderId="5" xfId="0" applyFill="1" applyBorder="1"/>
    <xf numFmtId="0" fontId="0" fillId="7" borderId="5" xfId="0" applyFill="1" applyBorder="1"/>
    <xf numFmtId="0" fontId="0" fillId="0" borderId="0" xfId="0" applyAlignment="1">
      <alignment horizontal="right"/>
    </xf>
    <xf numFmtId="0" fontId="0" fillId="7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IFR vs Repo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SOFR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Sheet1!$K$9:$K$11</c:f>
              <c:numCache>
                <c:formatCode>General</c:formatCode>
                <c:ptCount val="3"/>
                <c:pt idx="0">
                  <c:v>0</c:v>
                </c:pt>
                <c:pt idx="1">
                  <c:v>42</c:v>
                </c:pt>
                <c:pt idx="2">
                  <c:v>132</c:v>
                </c:pt>
              </c:numCache>
            </c:numRef>
          </c:xVal>
          <c:yVal>
            <c:numRef>
              <c:f>Sheet1!$L$9:$L$11</c:f>
              <c:numCache>
                <c:formatCode>General</c:formatCode>
                <c:ptCount val="3"/>
                <c:pt idx="0">
                  <c:v>4.3099999999999999E-2</c:v>
                </c:pt>
                <c:pt idx="1">
                  <c:v>4.24E-2</c:v>
                </c:pt>
                <c:pt idx="2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B-4B22-9018-A373BE9B13DB}"/>
            </c:ext>
          </c:extLst>
        </c:ser>
        <c:ser>
          <c:idx val="1"/>
          <c:order val="1"/>
          <c:tx>
            <c:v>IFR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Sheet1!$K$9:$K$11</c:f>
              <c:numCache>
                <c:formatCode>General</c:formatCode>
                <c:ptCount val="3"/>
                <c:pt idx="0">
                  <c:v>0</c:v>
                </c:pt>
                <c:pt idx="1">
                  <c:v>42</c:v>
                </c:pt>
                <c:pt idx="2">
                  <c:v>132</c:v>
                </c:pt>
              </c:numCache>
            </c:numRef>
          </c:xVal>
          <c:yVal>
            <c:numRef>
              <c:f>Sheet1!$M$9:$M$11</c:f>
              <c:numCache>
                <c:formatCode>General</c:formatCode>
                <c:ptCount val="3"/>
                <c:pt idx="0">
                  <c:v>4.2799999999999998E-2</c:v>
                </c:pt>
                <c:pt idx="1">
                  <c:v>5.1539109153874219E-2</c:v>
                </c:pt>
                <c:pt idx="2">
                  <c:v>6.1795883397000241E-2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CB-4B22-9018-A373BE9B1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613407"/>
        <c:axId val="764613887"/>
      </c:scatterChart>
      <c:valAx>
        <c:axId val="7646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13887"/>
        <c:crosses val="autoZero"/>
        <c:crossBetween val="midCat"/>
      </c:valAx>
      <c:valAx>
        <c:axId val="76461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in Decimal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1340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14286</xdr:rowOff>
    </xdr:from>
    <xdr:to>
      <xdr:col>21</xdr:col>
      <xdr:colOff>352425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26E2E0-429E-68BE-1FE0-5DA75AA9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B61C-12DD-4F8B-98A1-B4659CB0903C}">
  <dimension ref="A1:R23"/>
  <sheetViews>
    <sheetView tabSelected="1" workbookViewId="0">
      <selection activeCell="A10" sqref="A10"/>
    </sheetView>
  </sheetViews>
  <sheetFormatPr defaultRowHeight="15" x14ac:dyDescent="0.25"/>
  <cols>
    <col min="1" max="1" width="23.42578125" customWidth="1"/>
    <col min="2" max="2" width="11" customWidth="1"/>
  </cols>
  <sheetData>
    <row r="1" spans="1:18" ht="32.25" customHeight="1" x14ac:dyDescent="0.25">
      <c r="A1" s="1" t="s">
        <v>0</v>
      </c>
    </row>
    <row r="2" spans="1:18" ht="15.75" thickBot="1" x14ac:dyDescent="0.3"/>
    <row r="3" spans="1:18" ht="17.25" customHeight="1" thickBot="1" x14ac:dyDescent="0.3">
      <c r="B3" s="2" t="s">
        <v>14</v>
      </c>
      <c r="J3" s="2" t="s">
        <v>19</v>
      </c>
      <c r="K3" t="s">
        <v>23</v>
      </c>
      <c r="L3" t="s">
        <v>23</v>
      </c>
      <c r="M3" t="s">
        <v>24</v>
      </c>
      <c r="N3" t="s">
        <v>24</v>
      </c>
      <c r="O3" t="s">
        <v>25</v>
      </c>
      <c r="P3" t="s">
        <v>24</v>
      </c>
      <c r="Q3" t="s">
        <v>25</v>
      </c>
      <c r="R3" t="s">
        <v>24</v>
      </c>
    </row>
    <row r="4" spans="1:18" x14ac:dyDescent="0.25">
      <c r="C4" s="4" t="s">
        <v>1</v>
      </c>
      <c r="D4" s="5" t="s">
        <v>2</v>
      </c>
      <c r="E4" s="5" t="s">
        <v>3</v>
      </c>
      <c r="F4" s="5" t="s">
        <v>15</v>
      </c>
      <c r="G4" s="5" t="s">
        <v>8</v>
      </c>
      <c r="H4" s="12" t="s">
        <v>18</v>
      </c>
      <c r="I4" s="8" t="s">
        <v>7</v>
      </c>
      <c r="K4" s="11" t="s">
        <v>10</v>
      </c>
      <c r="L4" s="12" t="s">
        <v>9</v>
      </c>
      <c r="M4" s="12" t="s">
        <v>10</v>
      </c>
      <c r="N4" s="12" t="s">
        <v>9</v>
      </c>
      <c r="O4" s="12" t="s">
        <v>20</v>
      </c>
      <c r="P4" s="12" t="s">
        <v>20</v>
      </c>
      <c r="Q4" s="12" t="s">
        <v>21</v>
      </c>
      <c r="R4" s="8" t="s">
        <v>21</v>
      </c>
    </row>
    <row r="5" spans="1:18" ht="15.75" thickBot="1" x14ac:dyDescent="0.3">
      <c r="C5" s="10">
        <v>100.75</v>
      </c>
      <c r="D5" s="10">
        <v>99.875</v>
      </c>
      <c r="E5" s="10">
        <v>63</v>
      </c>
      <c r="F5" s="10">
        <v>2</v>
      </c>
      <c r="G5" s="10">
        <v>4.2799999999999998E-2</v>
      </c>
      <c r="H5" s="10">
        <v>100</v>
      </c>
      <c r="I5" s="10">
        <v>3.5000000000000003E-2</v>
      </c>
      <c r="K5" s="9">
        <f>C5-D5</f>
        <v>0.875</v>
      </c>
      <c r="L5" s="9">
        <f>K5+(D9/182)*((I5*H5)/F5)</f>
        <v>1.278846153846154</v>
      </c>
      <c r="M5" s="9">
        <f>C13-D13</f>
        <v>1.1550000000000011</v>
      </c>
      <c r="N5" s="9">
        <f>M5+(D17/182)*((H13*G13)/F13)</f>
        <v>2.6708241758241771</v>
      </c>
      <c r="O5" s="9">
        <f>C9*E9+L5</f>
        <v>101.35579927884616</v>
      </c>
      <c r="P5" s="9">
        <f>C17*E17+N5</f>
        <v>103.03284292582418</v>
      </c>
      <c r="Q5" s="9">
        <f>((O5-C5)/C5)*(360/D9)</f>
        <v>5.1539109153874219E-2</v>
      </c>
      <c r="R5" s="9">
        <f>((P5-C5)/C5)*(360/D17)</f>
        <v>6.1795883397000241E-2</v>
      </c>
    </row>
    <row r="6" spans="1:18" ht="18" customHeight="1" thickBot="1" x14ac:dyDescent="0.3"/>
    <row r="7" spans="1:18" ht="15.75" thickBot="1" x14ac:dyDescent="0.3">
      <c r="B7" s="2" t="s">
        <v>13</v>
      </c>
      <c r="J7" s="2" t="s">
        <v>26</v>
      </c>
      <c r="N7" t="s">
        <v>31</v>
      </c>
    </row>
    <row r="8" spans="1:18" x14ac:dyDescent="0.25">
      <c r="C8" s="4" t="s">
        <v>12</v>
      </c>
      <c r="D8" s="5" t="s">
        <v>4</v>
      </c>
      <c r="E8" s="5" t="s">
        <v>11</v>
      </c>
      <c r="K8" s="4" t="s">
        <v>6</v>
      </c>
      <c r="L8" s="5" t="s">
        <v>27</v>
      </c>
      <c r="M8" s="12" t="s">
        <v>21</v>
      </c>
      <c r="N8" s="8" t="s">
        <v>30</v>
      </c>
    </row>
    <row r="9" spans="1:18" ht="15.75" thickBot="1" x14ac:dyDescent="0.3">
      <c r="C9" s="10">
        <v>110.15625</v>
      </c>
      <c r="D9" s="10">
        <v>42</v>
      </c>
      <c r="E9" s="10">
        <v>0.90849999999999997</v>
      </c>
      <c r="K9" s="9">
        <v>0</v>
      </c>
      <c r="L9" s="9">
        <f>D21</f>
        <v>4.3099999999999999E-2</v>
      </c>
      <c r="M9" s="9">
        <f>G5</f>
        <v>4.2799999999999998E-2</v>
      </c>
      <c r="N9" s="9">
        <f>L9-M9</f>
        <v>3.0000000000000165E-4</v>
      </c>
    </row>
    <row r="10" spans="1:18" ht="15.75" thickBot="1" x14ac:dyDescent="0.3">
      <c r="K10" s="13">
        <f>C22</f>
        <v>42</v>
      </c>
      <c r="L10" s="13">
        <f>D22</f>
        <v>4.24E-2</v>
      </c>
      <c r="M10" s="13">
        <f>Q5</f>
        <v>5.1539109153874219E-2</v>
      </c>
      <c r="N10" s="13">
        <f t="shared" ref="N10:N11" si="0">L10-M10</f>
        <v>-9.1391091538742183E-3</v>
      </c>
    </row>
    <row r="11" spans="1:18" ht="15.75" thickBot="1" x14ac:dyDescent="0.3">
      <c r="B11" s="2" t="s">
        <v>16</v>
      </c>
      <c r="K11" s="14">
        <f>C23</f>
        <v>132</v>
      </c>
      <c r="L11" s="14">
        <f>D23</f>
        <v>4.02E-2</v>
      </c>
      <c r="M11" s="14">
        <f>R5</f>
        <v>6.1795883397000241E-2</v>
      </c>
      <c r="N11" s="14">
        <f t="shared" si="0"/>
        <v>-2.1595883397000241E-2</v>
      </c>
    </row>
    <row r="12" spans="1:18" x14ac:dyDescent="0.25">
      <c r="C12" s="4" t="s">
        <v>1</v>
      </c>
      <c r="D12" s="5" t="s">
        <v>2</v>
      </c>
      <c r="E12" s="5" t="s">
        <v>3</v>
      </c>
      <c r="F12" s="5" t="s">
        <v>15</v>
      </c>
      <c r="G12" s="5" t="s">
        <v>18</v>
      </c>
      <c r="H12" s="8" t="s">
        <v>7</v>
      </c>
    </row>
    <row r="13" spans="1:18" ht="15.75" thickBot="1" x14ac:dyDescent="0.3">
      <c r="C13" s="10">
        <v>100.78</v>
      </c>
      <c r="D13" s="10">
        <v>99.625</v>
      </c>
      <c r="E13" s="10">
        <v>83</v>
      </c>
      <c r="F13" s="10">
        <v>2</v>
      </c>
      <c r="G13" s="10">
        <v>100</v>
      </c>
      <c r="H13" s="10">
        <v>4.1799999999999997E-2</v>
      </c>
    </row>
    <row r="14" spans="1:18" ht="15.75" thickBot="1" x14ac:dyDescent="0.3"/>
    <row r="15" spans="1:18" ht="15.75" thickBot="1" x14ac:dyDescent="0.3">
      <c r="B15" s="2" t="s">
        <v>17</v>
      </c>
    </row>
    <row r="16" spans="1:18" x14ac:dyDescent="0.25">
      <c r="C16" s="4" t="s">
        <v>12</v>
      </c>
      <c r="D16" s="5" t="s">
        <v>4</v>
      </c>
      <c r="E16" s="8" t="s">
        <v>11</v>
      </c>
    </row>
    <row r="17" spans="2:5" ht="15.75" thickBot="1" x14ac:dyDescent="0.3">
      <c r="C17" s="10">
        <v>109.78125</v>
      </c>
      <c r="D17" s="10">
        <v>132</v>
      </c>
      <c r="E17" s="10">
        <v>0.91420000000000001</v>
      </c>
    </row>
    <row r="18" spans="2:5" ht="15.75" thickBot="1" x14ac:dyDescent="0.3"/>
    <row r="19" spans="2:5" ht="15.75" thickBot="1" x14ac:dyDescent="0.3">
      <c r="B19" s="2" t="s">
        <v>5</v>
      </c>
    </row>
    <row r="20" spans="2:5" x14ac:dyDescent="0.25">
      <c r="C20" s="4" t="s">
        <v>22</v>
      </c>
      <c r="D20" s="3" t="s">
        <v>7</v>
      </c>
    </row>
    <row r="21" spans="2:5" ht="15.75" thickBot="1" x14ac:dyDescent="0.3">
      <c r="C21" s="9">
        <v>0</v>
      </c>
      <c r="D21" s="10">
        <v>4.3099999999999999E-2</v>
      </c>
    </row>
    <row r="22" spans="2:5" ht="15.75" thickBot="1" x14ac:dyDescent="0.3">
      <c r="B22" s="15" t="s">
        <v>28</v>
      </c>
      <c r="C22" s="13">
        <f>D9</f>
        <v>42</v>
      </c>
      <c r="D22" s="7">
        <v>4.24E-2</v>
      </c>
    </row>
    <row r="23" spans="2:5" ht="15.75" thickBot="1" x14ac:dyDescent="0.3">
      <c r="B23" s="15" t="s">
        <v>29</v>
      </c>
      <c r="C23" s="16">
        <f>D17</f>
        <v>132</v>
      </c>
      <c r="D23" s="6">
        <v>4.02E-2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FD87C4-BEAA-421B-87AF-8540BD21A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A1D42F-D40F-4475-BB1A-55D499F26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0FD2F5-73C6-42A5-973E-79B795DA9483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aa22a689-7505-4716-b802-371d38c763e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2026-06-07T22:09:58Z</dcterms:created>
  <dcterms:modified xsi:type="dcterms:W3CDTF">2026-06-07T23:17:58Z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